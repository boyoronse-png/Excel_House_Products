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rons\OneDrive\Documents\"/>
    </mc:Choice>
  </mc:AlternateContent>
  <xr:revisionPtr revIDLastSave="0" documentId="8_{4AD69EF9-5AE5-4F0A-BB83-19FAC69996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s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N14" i="1"/>
  <c r="N13" i="1"/>
  <c r="N11" i="1"/>
  <c r="N12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<sst xmlns="http://schemas.openxmlformats.org/spreadsheetml/2006/main" count="237" uniqueCount="149">
  <si>
    <t>SKU</t>
  </si>
  <si>
    <t>Product</t>
  </si>
  <si>
    <t>Category</t>
  </si>
  <si>
    <t>Supplier</t>
  </si>
  <si>
    <t>Region</t>
  </si>
  <si>
    <t>Price</t>
  </si>
  <si>
    <t>Stock</t>
  </si>
  <si>
    <t>Rating</t>
  </si>
  <si>
    <t>Launch Date</t>
  </si>
  <si>
    <t>Status</t>
  </si>
  <si>
    <t>XLOOKUP Practice Test</t>
  </si>
  <si>
    <t>A100</t>
  </si>
  <si>
    <t>Oak Desk</t>
  </si>
  <si>
    <t>Furniture</t>
  </si>
  <si>
    <t>Northline</t>
  </si>
  <si>
    <t>UK</t>
  </si>
  <si>
    <t>2024-01-15</t>
  </si>
  <si>
    <t>Active</t>
  </si>
  <si>
    <t>A101</t>
  </si>
  <si>
    <t>Maple Chair</t>
  </si>
  <si>
    <t>2023-11-02</t>
  </si>
  <si>
    <t>Question</t>
  </si>
  <si>
    <t>Input</t>
  </si>
  <si>
    <t>Your formula / answer</t>
  </si>
  <si>
    <t>Target result</t>
  </si>
  <si>
    <t>Difficulty</t>
  </si>
  <si>
    <t>A102</t>
  </si>
  <si>
    <t>Pine Bookshelf</t>
  </si>
  <si>
    <t>WoodWorks</t>
  </si>
  <si>
    <t>EU</t>
  </si>
  <si>
    <t>2024-03-20</t>
  </si>
  <si>
    <t>Backorder</t>
  </si>
  <si>
    <t>1. Find the Product for SKU A103</t>
  </si>
  <si>
    <t>A103</t>
  </si>
  <si>
    <t>Walnut Table</t>
  </si>
  <si>
    <t>Basic</t>
  </si>
  <si>
    <t>2023-09-08</t>
  </si>
  <si>
    <t>2. Find the Price for SKU D400</t>
  </si>
  <si>
    <t>D400</t>
  </si>
  <si>
    <t>£520.00</t>
  </si>
  <si>
    <t>B200</t>
  </si>
  <si>
    <t>Steel Lamp</t>
  </si>
  <si>
    <t>Lighting</t>
  </si>
  <si>
    <t>BrightCo</t>
  </si>
  <si>
    <t>US</t>
  </si>
  <si>
    <t>2024-02-11</t>
  </si>
  <si>
    <t>3. Find the Supplier for Product Wool Throw</t>
  </si>
  <si>
    <t>Wool Throw</t>
  </si>
  <si>
    <t>SoftNest</t>
  </si>
  <si>
    <t>B201</t>
  </si>
  <si>
    <t>Copper Pendant</t>
  </si>
  <si>
    <t>2024-04-16</t>
  </si>
  <si>
    <t>4. Return Category, Supplier, Region, Price for SKU E503</t>
  </si>
  <si>
    <t>E503</t>
  </si>
  <si>
    <t>Electronics | PixelWorks | EU | £105.00</t>
  </si>
  <si>
    <t>Array</t>
  </si>
  <si>
    <t>B202</t>
  </si>
  <si>
    <t>Glass Floor Lamp</t>
  </si>
  <si>
    <t>Luma</t>
  </si>
  <si>
    <t>2023-12-01</t>
  </si>
  <si>
    <t>Clearance</t>
  </si>
  <si>
    <t>5. Use if_not_found for missing SKU Z999</t>
  </si>
  <si>
    <t>Z999</t>
  </si>
  <si>
    <t>SKU not found</t>
  </si>
  <si>
    <t>Error handling</t>
  </si>
  <si>
    <t>C300</t>
  </si>
  <si>
    <t>Cotton Rug</t>
  </si>
  <si>
    <t>Decor</t>
  </si>
  <si>
    <t>2024-05-12</t>
  </si>
  <si>
    <t>6. Wildcard: find Product containing “keyboard”</t>
  </si>
  <si>
    <t>keyboard</t>
  </si>
  <si>
    <t>Mechanical Keyboard</t>
  </si>
  <si>
    <t>Wildcard</t>
  </si>
  <si>
    <t>C301</t>
  </si>
  <si>
    <t>2023-10-21</t>
  </si>
  <si>
    <t>7. Wildcard: find Product ending in “Lamp”</t>
  </si>
  <si>
    <t>Lamp</t>
  </si>
  <si>
    <t>C302</t>
  </si>
  <si>
    <t>Ceramic Vase</t>
  </si>
  <si>
    <t>HomeCraft</t>
  </si>
  <si>
    <t>2024-06-05</t>
  </si>
  <si>
    <t>8. Approximate: discount for order value £275</t>
  </si>
  <si>
    <t>275</t>
  </si>
  <si>
    <t>5%</t>
  </si>
  <si>
    <t>Match mode</t>
  </si>
  <si>
    <t>C303</t>
  </si>
  <si>
    <t>Linen Curtains</t>
  </si>
  <si>
    <t>2024-01-28</t>
  </si>
  <si>
    <t>9. Approximate: shipping fee for weight 18 kg</t>
  </si>
  <si>
    <t>18</t>
  </si>
  <si>
    <t>£14.99</t>
  </si>
  <si>
    <t>Espresso Machine</t>
  </si>
  <si>
    <t>Kitchen</t>
  </si>
  <si>
    <t>ChefPro</t>
  </si>
  <si>
    <t>2023-08-14</t>
  </si>
  <si>
    <t>10. Search mode: first Active product by Status</t>
  </si>
  <si>
    <t>Search mode</t>
  </si>
  <si>
    <t>D401</t>
  </si>
  <si>
    <t>Cast Iron Pan</t>
  </si>
  <si>
    <t>2024-02-26</t>
  </si>
  <si>
    <t>11. Search mode: last Active product by Status</t>
  </si>
  <si>
    <t>Resistance Bands</t>
  </si>
  <si>
    <t>D402</t>
  </si>
  <si>
    <t>Bamboo Chopping Board</t>
  </si>
  <si>
    <t>GreenHome</t>
  </si>
  <si>
    <t>2023-07-30</t>
  </si>
  <si>
    <t>12. Debug: why does =XLOOKUP(N15,A2:A24,F2:F24) fail for Product?</t>
  </si>
  <si>
    <t>Lookup array is SKU column, but input is Product</t>
  </si>
  <si>
    <t>Concept</t>
  </si>
  <si>
    <t>D403</t>
  </si>
  <si>
    <t>Glass Kettle</t>
  </si>
  <si>
    <t>2024-04-03</t>
  </si>
  <si>
    <t>Discontinued</t>
  </si>
  <si>
    <t>E500</t>
  </si>
  <si>
    <t>Bluetooth Speaker</t>
  </si>
  <si>
    <t>Electronics</t>
  </si>
  <si>
    <t>SonicLab</t>
  </si>
  <si>
    <t>2024-03-08</t>
  </si>
  <si>
    <t>E501</t>
  </si>
  <si>
    <t>Wireless Charger</t>
  </si>
  <si>
    <t>2024-06-18</t>
  </si>
  <si>
    <t>Order Value From</t>
  </si>
  <si>
    <t>Discount</t>
  </si>
  <si>
    <t>Formula hint</t>
  </si>
  <si>
    <t>E502</t>
  </si>
  <si>
    <t>Desk Monitor 27in</t>
  </si>
  <si>
    <t>PixelWorks</t>
  </si>
  <si>
    <t>2023-11-18</t>
  </si>
  <si>
    <t>exact or next smaller</t>
  </si>
  <si>
    <t>2024-05-25</t>
  </si>
  <si>
    <t>match_mode -1</t>
  </si>
  <si>
    <t>F600</t>
  </si>
  <si>
    <t>Yoga Mat</t>
  </si>
  <si>
    <t>Fitness</t>
  </si>
  <si>
    <t>FitCore</t>
  </si>
  <si>
    <t>2024-01-05</t>
  </si>
  <si>
    <t>lookup value 275</t>
  </si>
  <si>
    <t>F601</t>
  </si>
  <si>
    <t>Adjustable Dumbbell</t>
  </si>
  <si>
    <t>2024-02-22</t>
  </si>
  <si>
    <t>F602</t>
  </si>
  <si>
    <t>FlexGear</t>
  </si>
  <si>
    <t>2023-09-14</t>
  </si>
  <si>
    <t>F603</t>
  </si>
  <si>
    <t>Treadmill Compact</t>
  </si>
  <si>
    <t>2024-04-20</t>
  </si>
  <si>
    <t>Weight From kg</t>
  </si>
  <si>
    <t>Shipping Fee</t>
  </si>
  <si>
    <t>lookup value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</si>
</sst>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0.00"/>
    <numFmt numFmtId="165" formatCode="0.0"/>
    <numFmt numFmtId="166" formatCode="yyyy\-mm\-dd"/>
    <numFmt numFmtId="167" formatCode="\£0"/>
  </numFmts>
  <fonts count="6">
    <font>
      <sz val="11"/>
      <name val="Carlito"/>
    </font>
    <font>
      <b/>
      <sz val="11"/>
      <color rgb="FF1F2937"/>
      <name val="Carlito"/>
    </font>
    <font>
      <sz val="10"/>
      <name val="Carlito"/>
    </font>
    <font>
      <b/>
      <sz val="14"/>
      <color rgb="FF111827"/>
      <name val="Carlito"/>
    </font>
    <font>
      <b/>
      <sz val="11"/>
      <name val="Carlito"/>
    </font>
    <font>
      <sz val="11"/>
      <color rgb="FF6B728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EEF2FF"/>
      </patternFill>
    </fill>
    <fill>
      <patternFill patternType="solid">
        <fgColor rgb="FFF3F4F6"/>
      </patternFill>
    </fill>
    <fill>
      <patternFill patternType="solid">
        <fgColor rgb="FFFFF7ED"/>
      </patternFill>
    </fill>
    <fill>
      <patternFill patternType="solid">
        <fgColor rgb="FFF9FAFB"/>
      </patternFill>
    </fill>
    <fill>
      <patternFill patternType="solid">
        <fgColor rgb="FFECFDF5"/>
      </patternFill>
    </fill>
  </fills>
  <borders count="6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/>
    <xf numFmtId="164" fontId="2" fillId="0" borderId="4" xfId="0" applyNumberFormat="1" applyFont="1" applyBorder="1"/>
    <xf numFmtId="165" fontId="2" fillId="0" borderId="4" xfId="0" applyNumberFormat="1" applyFont="1" applyBorder="1"/>
    <xf numFmtId="166" fontId="2" fillId="0" borderId="4" xfId="0" applyNumberFormat="1" applyFont="1" applyBorder="1"/>
    <xf numFmtId="0" fontId="3" fillId="3" borderId="0" xfId="0" applyFon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4" fillId="7" borderId="4" xfId="0" applyFont="1" applyFill="1" applyBorder="1"/>
    <xf numFmtId="9" fontId="0" fillId="0" borderId="4" xfId="0" applyNumberFormat="1" applyBorder="1"/>
    <xf numFmtId="167" fontId="0" fillId="0" borderId="4" xfId="0" applyNumberFormat="1" applyBorder="1"/>
    <xf numFmtId="16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zoomScale="68" zoomScaleNormal="68" workbookViewId="0">
      <selection activeCell="N15" sqref="N15"/>
    </sheetView>
  </sheetViews>
  <sheetFormatPr defaultRowHeight="14.25"/>
  <cols>
    <col min="1" max="1" width="5.125" customWidth="1"/>
    <col min="2" max="2" width="19.125" customWidth="1"/>
    <col min="3" max="3" width="8.25" customWidth="1"/>
    <col min="4" max="4" width="9.375" customWidth="1"/>
    <col min="5" max="5" width="5.875" customWidth="1"/>
    <col min="6" max="6" width="7.125" customWidth="1"/>
    <col min="7" max="7" width="5.875" customWidth="1"/>
    <col min="8" max="8" width="7.25" customWidth="1"/>
    <col min="9" max="9" width="10.75" customWidth="1"/>
    <col min="10" max="10" width="10" customWidth="1"/>
    <col min="12" max="12" width="38" customWidth="1"/>
    <col min="13" max="13" width="18" customWidth="1"/>
    <col min="14" max="14" width="38.625" customWidth="1"/>
    <col min="15" max="15" width="36" customWidth="1"/>
    <col min="16" max="16" width="14" customWidth="1"/>
  </cols>
  <sheetData>
    <row r="1" spans="1:16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L1" s="8" t="s">
        <v>10</v>
      </c>
      <c r="M1" s="8"/>
      <c r="N1" s="8"/>
      <c r="O1" s="8"/>
      <c r="P1" s="8"/>
    </row>
    <row r="2" spans="1:16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5">
        <v>249</v>
      </c>
      <c r="G2" s="4">
        <v>14</v>
      </c>
      <c r="H2" s="6">
        <v>4.5999999999999996</v>
      </c>
      <c r="I2" s="7" t="s">
        <v>16</v>
      </c>
      <c r="J2" s="4" t="s">
        <v>17</v>
      </c>
    </row>
    <row r="3" spans="1:16" ht="15">
      <c r="A3" s="4" t="s">
        <v>18</v>
      </c>
      <c r="B3" s="4" t="s">
        <v>19</v>
      </c>
      <c r="C3" s="4" t="s">
        <v>13</v>
      </c>
      <c r="D3" s="4" t="s">
        <v>14</v>
      </c>
      <c r="E3" s="4" t="s">
        <v>15</v>
      </c>
      <c r="F3" s="5">
        <v>89</v>
      </c>
      <c r="G3" s="4">
        <v>42</v>
      </c>
      <c r="H3" s="6">
        <v>4.2</v>
      </c>
      <c r="I3" s="7" t="s">
        <v>20</v>
      </c>
      <c r="J3" s="4" t="s">
        <v>17</v>
      </c>
      <c r="L3" s="11" t="s">
        <v>21</v>
      </c>
      <c r="M3" s="11" t="s">
        <v>22</v>
      </c>
      <c r="N3" s="11" t="s">
        <v>23</v>
      </c>
      <c r="O3" s="11" t="s">
        <v>24</v>
      </c>
      <c r="P3" s="11" t="s">
        <v>25</v>
      </c>
    </row>
    <row r="4" spans="1:16" ht="15" customHeight="1">
      <c r="A4" s="4" t="s">
        <v>26</v>
      </c>
      <c r="B4" s="4" t="s">
        <v>27</v>
      </c>
      <c r="C4" s="4" t="s">
        <v>13</v>
      </c>
      <c r="D4" s="4" t="s">
        <v>28</v>
      </c>
      <c r="E4" s="4" t="s">
        <v>29</v>
      </c>
      <c r="F4" s="5">
        <v>159</v>
      </c>
      <c r="G4" s="4">
        <v>9</v>
      </c>
      <c r="H4" s="6">
        <v>4.5</v>
      </c>
      <c r="I4" s="7" t="s">
        <v>30</v>
      </c>
      <c r="J4" s="4" t="s">
        <v>31</v>
      </c>
      <c r="L4" s="10" t="s">
        <v>32</v>
      </c>
      <c r="M4" s="14" t="s">
        <v>33</v>
      </c>
      <c r="N4" s="12" t="str">
        <f>_xlfn.XLOOKUP('Products sheet'!A5,A1:A24,B1:B24)</f>
        <v>Walnut Table</v>
      </c>
      <c r="O4" s="13" t="s">
        <v>34</v>
      </c>
      <c r="P4" s="10" t="s">
        <v>35</v>
      </c>
    </row>
    <row r="5" spans="1:16" ht="15" customHeight="1">
      <c r="A5" s="4" t="s">
        <v>33</v>
      </c>
      <c r="B5" s="4" t="s">
        <v>34</v>
      </c>
      <c r="C5" s="4" t="s">
        <v>13</v>
      </c>
      <c r="D5" s="4" t="s">
        <v>28</v>
      </c>
      <c r="E5" s="4" t="s">
        <v>29</v>
      </c>
      <c r="F5" s="5">
        <v>399</v>
      </c>
      <c r="G5" s="4">
        <v>3</v>
      </c>
      <c r="H5" s="6">
        <v>4.8</v>
      </c>
      <c r="I5" s="7" t="s">
        <v>36</v>
      </c>
      <c r="J5" s="4" t="s">
        <v>17</v>
      </c>
      <c r="L5" s="10" t="s">
        <v>37</v>
      </c>
      <c r="M5" s="14" t="s">
        <v>38</v>
      </c>
      <c r="N5" s="12">
        <f>_xlfn.XLOOKUP(A13,A1:A24,F1:F24)</f>
        <v>520</v>
      </c>
      <c r="O5" s="13" t="s">
        <v>39</v>
      </c>
      <c r="P5" s="10" t="s">
        <v>35</v>
      </c>
    </row>
    <row r="6" spans="1:16" ht="15" customHeight="1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5">
        <v>55</v>
      </c>
      <c r="G6" s="4">
        <v>67</v>
      </c>
      <c r="H6" s="6">
        <v>4.0999999999999996</v>
      </c>
      <c r="I6" s="7" t="s">
        <v>45</v>
      </c>
      <c r="J6" s="4" t="s">
        <v>17</v>
      </c>
      <c r="L6" s="10" t="s">
        <v>46</v>
      </c>
      <c r="M6" s="14" t="s">
        <v>47</v>
      </c>
      <c r="N6" s="12" t="str">
        <f>_xlfn.XLOOKUP(B10,B1:B24,D1:D24)</f>
        <v>SoftNest</v>
      </c>
      <c r="O6" s="13" t="s">
        <v>48</v>
      </c>
      <c r="P6" s="10" t="s">
        <v>35</v>
      </c>
    </row>
    <row r="7" spans="1:16" ht="26.85" customHeight="1">
      <c r="A7" s="4" t="s">
        <v>49</v>
      </c>
      <c r="B7" s="4" t="s">
        <v>50</v>
      </c>
      <c r="C7" s="4" t="s">
        <v>42</v>
      </c>
      <c r="D7" s="4" t="s">
        <v>43</v>
      </c>
      <c r="E7" s="4" t="s">
        <v>44</v>
      </c>
      <c r="F7" s="5">
        <v>129</v>
      </c>
      <c r="G7" s="4">
        <v>22</v>
      </c>
      <c r="H7" s="6">
        <v>4.7</v>
      </c>
      <c r="I7" s="7" t="s">
        <v>51</v>
      </c>
      <c r="J7" s="4" t="s">
        <v>17</v>
      </c>
      <c r="L7" s="10" t="s">
        <v>52</v>
      </c>
      <c r="M7" s="14" t="s">
        <v>53</v>
      </c>
      <c r="N7" s="12" t="str">
        <f>_xlfn.TEXTJOIN("|",TRUE,_xlfn.XLOOKUP('Products sheet'!A20,'Products sheet'!A2:A24,'Products sheet'!C2:F24))</f>
        <v>Electronics|PixelWorks|EU|105</v>
      </c>
      <c r="O7" s="13" t="s">
        <v>54</v>
      </c>
      <c r="P7" s="10" t="s">
        <v>55</v>
      </c>
    </row>
    <row r="8" spans="1:16" ht="15" customHeight="1">
      <c r="A8" s="4" t="s">
        <v>56</v>
      </c>
      <c r="B8" s="4" t="s">
        <v>57</v>
      </c>
      <c r="C8" s="4" t="s">
        <v>42</v>
      </c>
      <c r="D8" s="4" t="s">
        <v>58</v>
      </c>
      <c r="E8" s="4" t="s">
        <v>29</v>
      </c>
      <c r="F8" s="5">
        <v>210</v>
      </c>
      <c r="G8" s="4">
        <v>5</v>
      </c>
      <c r="H8" s="6">
        <v>4.4000000000000004</v>
      </c>
      <c r="I8" s="7" t="s">
        <v>59</v>
      </c>
      <c r="J8" s="4" t="s">
        <v>60</v>
      </c>
      <c r="L8" s="10" t="s">
        <v>61</v>
      </c>
      <c r="M8" s="14" t="s">
        <v>62</v>
      </c>
      <c r="N8" s="12" t="str">
        <f>_xlfn.XLOOKUP("Z999",A2:A24,B2:B24,"SKU NOT EXIST")</f>
        <v>SKU NOT EXIST</v>
      </c>
      <c r="O8" s="13" t="s">
        <v>63</v>
      </c>
      <c r="P8" s="10" t="s">
        <v>64</v>
      </c>
    </row>
    <row r="9" spans="1:16" ht="26.85" customHeight="1">
      <c r="A9" s="4" t="s">
        <v>65</v>
      </c>
      <c r="B9" s="4" t="s">
        <v>66</v>
      </c>
      <c r="C9" s="4" t="s">
        <v>67</v>
      </c>
      <c r="D9" s="4" t="s">
        <v>48</v>
      </c>
      <c r="E9" s="4" t="s">
        <v>15</v>
      </c>
      <c r="F9" s="5">
        <v>79</v>
      </c>
      <c r="G9" s="4">
        <v>30</v>
      </c>
      <c r="H9" s="6">
        <v>4</v>
      </c>
      <c r="I9" s="7" t="s">
        <v>68</v>
      </c>
      <c r="J9" s="4" t="s">
        <v>17</v>
      </c>
      <c r="L9" s="10" t="s">
        <v>69</v>
      </c>
      <c r="M9" s="14" t="s">
        <v>70</v>
      </c>
      <c r="N9" s="12" t="str">
        <f>_xlfn.XLOOKUP("*keyboard*",B2:B24,B2:B24,,2)</f>
        <v>Mechanical Keyboard</v>
      </c>
      <c r="O9" s="13" t="s">
        <v>71</v>
      </c>
      <c r="P9" s="10" t="s">
        <v>72</v>
      </c>
    </row>
    <row r="10" spans="1:16" ht="15" customHeight="1">
      <c r="A10" s="4" t="s">
        <v>73</v>
      </c>
      <c r="B10" s="4" t="s">
        <v>47</v>
      </c>
      <c r="C10" s="4" t="s">
        <v>67</v>
      </c>
      <c r="D10" s="4" t="s">
        <v>48</v>
      </c>
      <c r="E10" s="4" t="s">
        <v>15</v>
      </c>
      <c r="F10" s="5">
        <v>45</v>
      </c>
      <c r="G10" s="4">
        <v>55</v>
      </c>
      <c r="H10" s="6">
        <v>4.3</v>
      </c>
      <c r="I10" s="7" t="s">
        <v>74</v>
      </c>
      <c r="J10" s="4" t="s">
        <v>17</v>
      </c>
      <c r="L10" s="10" t="s">
        <v>75</v>
      </c>
      <c r="M10" s="14" t="s">
        <v>76</v>
      </c>
      <c r="N10" s="12" t="str">
        <f>_xlfn.XLOOKUP("*Lamp",B2:B24,B2:B24,,2)</f>
        <v>Steel Lamp</v>
      </c>
      <c r="O10" s="13" t="s">
        <v>41</v>
      </c>
      <c r="P10" s="10" t="s">
        <v>72</v>
      </c>
    </row>
    <row r="11" spans="1:16" ht="26.85" customHeight="1">
      <c r="A11" s="4" t="s">
        <v>77</v>
      </c>
      <c r="B11" s="4" t="s">
        <v>78</v>
      </c>
      <c r="C11" s="4" t="s">
        <v>67</v>
      </c>
      <c r="D11" s="4" t="s">
        <v>79</v>
      </c>
      <c r="E11" s="4" t="s">
        <v>29</v>
      </c>
      <c r="F11" s="5">
        <v>35</v>
      </c>
      <c r="G11" s="4">
        <v>18</v>
      </c>
      <c r="H11" s="6">
        <v>4.5999999999999996</v>
      </c>
      <c r="I11" s="7" t="s">
        <v>80</v>
      </c>
      <c r="J11" s="4" t="s">
        <v>17</v>
      </c>
      <c r="L11" s="10" t="s">
        <v>81</v>
      </c>
      <c r="M11" s="14" t="s">
        <v>82</v>
      </c>
      <c r="N11" s="12">
        <f>_xlfn.XLOOKUP(275,L19:L23,L19:L23,,-1)</f>
        <v>250</v>
      </c>
      <c r="O11" s="13" t="s">
        <v>83</v>
      </c>
      <c r="P11" s="10" t="s">
        <v>84</v>
      </c>
    </row>
    <row r="12" spans="1:16" ht="26.85" customHeight="1">
      <c r="A12" s="4" t="s">
        <v>85</v>
      </c>
      <c r="B12" s="4" t="s">
        <v>86</v>
      </c>
      <c r="C12" s="4" t="s">
        <v>67</v>
      </c>
      <c r="D12" s="4" t="s">
        <v>79</v>
      </c>
      <c r="E12" s="4" t="s">
        <v>29</v>
      </c>
      <c r="F12" s="5">
        <v>95</v>
      </c>
      <c r="G12" s="4">
        <v>11</v>
      </c>
      <c r="H12" s="6">
        <v>4.2</v>
      </c>
      <c r="I12" s="7" t="s">
        <v>87</v>
      </c>
      <c r="J12" s="4" t="s">
        <v>31</v>
      </c>
      <c r="L12" s="10" t="s">
        <v>88</v>
      </c>
      <c r="M12" s="14" t="s">
        <v>89</v>
      </c>
      <c r="N12" s="12">
        <f>_xlfn.XLOOKUP(18,'Products sheet'!L26:L30,M26:M30,,-1)</f>
        <v>14.99</v>
      </c>
      <c r="O12" s="13" t="s">
        <v>90</v>
      </c>
      <c r="P12" s="10" t="s">
        <v>84</v>
      </c>
    </row>
    <row r="13" spans="1:16" ht="26.85" customHeight="1">
      <c r="A13" s="4" t="s">
        <v>38</v>
      </c>
      <c r="B13" s="4" t="s">
        <v>91</v>
      </c>
      <c r="C13" s="4" t="s">
        <v>92</v>
      </c>
      <c r="D13" s="4" t="s">
        <v>93</v>
      </c>
      <c r="E13" s="4" t="s">
        <v>44</v>
      </c>
      <c r="F13" s="5">
        <v>520</v>
      </c>
      <c r="G13" s="4">
        <v>6</v>
      </c>
      <c r="H13" s="6">
        <v>4.9000000000000004</v>
      </c>
      <c r="I13" s="7" t="s">
        <v>94</v>
      </c>
      <c r="J13" s="4" t="s">
        <v>17</v>
      </c>
      <c r="L13" s="10" t="s">
        <v>95</v>
      </c>
      <c r="M13" s="14" t="s">
        <v>17</v>
      </c>
      <c r="N13" s="12" t="str">
        <f>_xlfn.XLOOKUP("Active",J2:J24,B2:B24,,1)</f>
        <v>Oak Desk</v>
      </c>
      <c r="O13" s="13" t="s">
        <v>12</v>
      </c>
      <c r="P13" s="10" t="s">
        <v>96</v>
      </c>
    </row>
    <row r="14" spans="1:16" ht="26.85" customHeight="1">
      <c r="A14" s="4" t="s">
        <v>97</v>
      </c>
      <c r="B14" s="4" t="s">
        <v>98</v>
      </c>
      <c r="C14" s="4" t="s">
        <v>92</v>
      </c>
      <c r="D14" s="4" t="s">
        <v>93</v>
      </c>
      <c r="E14" s="4" t="s">
        <v>44</v>
      </c>
      <c r="F14" s="5">
        <v>75</v>
      </c>
      <c r="G14" s="4">
        <v>38</v>
      </c>
      <c r="H14" s="6">
        <v>4.8</v>
      </c>
      <c r="I14" s="7" t="s">
        <v>99</v>
      </c>
      <c r="J14" s="4" t="s">
        <v>17</v>
      </c>
      <c r="L14" s="10" t="s">
        <v>100</v>
      </c>
      <c r="M14" s="14" t="s">
        <v>17</v>
      </c>
      <c r="N14" s="12" t="str">
        <f>_xlfn.XLOOKUP("Active",J2:J24,B2:B24,,0,-1)</f>
        <v>Resistance Bands</v>
      </c>
      <c r="O14" s="13" t="s">
        <v>101</v>
      </c>
      <c r="P14" s="10" t="s">
        <v>96</v>
      </c>
    </row>
    <row r="15" spans="1:16" ht="40.35" customHeight="1">
      <c r="A15" s="4" t="s">
        <v>102</v>
      </c>
      <c r="B15" s="4" t="s">
        <v>103</v>
      </c>
      <c r="C15" s="4" t="s">
        <v>92</v>
      </c>
      <c r="D15" s="4" t="s">
        <v>104</v>
      </c>
      <c r="E15" s="4" t="s">
        <v>15</v>
      </c>
      <c r="F15" s="5">
        <v>28</v>
      </c>
      <c r="G15" s="4">
        <v>76</v>
      </c>
      <c r="H15" s="6">
        <v>4.0999999999999996</v>
      </c>
      <c r="I15" s="7" t="s">
        <v>105</v>
      </c>
      <c r="J15" s="4" t="s">
        <v>17</v>
      </c>
      <c r="L15" s="10" t="s">
        <v>106</v>
      </c>
      <c r="M15" s="14" t="s">
        <v>47</v>
      </c>
      <c r="N15" s="12">
        <f>_xlfn.XLOOKUP(B10,B2:B24,F2:F24)</f>
        <v>45</v>
      </c>
      <c r="O15" s="13" t="s">
        <v>107</v>
      </c>
      <c r="P15" s="10" t="s">
        <v>108</v>
      </c>
    </row>
    <row r="16" spans="1:16">
      <c r="A16" s="4" t="s">
        <v>109</v>
      </c>
      <c r="B16" s="4" t="s">
        <v>110</v>
      </c>
      <c r="C16" s="4" t="s">
        <v>92</v>
      </c>
      <c r="D16" s="4" t="s">
        <v>104</v>
      </c>
      <c r="E16" s="4" t="s">
        <v>15</v>
      </c>
      <c r="F16" s="5">
        <v>62</v>
      </c>
      <c r="G16" s="4">
        <v>0</v>
      </c>
      <c r="H16" s="6">
        <v>3.9</v>
      </c>
      <c r="I16" s="7" t="s">
        <v>111</v>
      </c>
      <c r="J16" s="4" t="s">
        <v>112</v>
      </c>
    </row>
    <row r="17" spans="1:14">
      <c r="A17" s="4" t="s">
        <v>113</v>
      </c>
      <c r="B17" s="4" t="s">
        <v>114</v>
      </c>
      <c r="C17" s="4" t="s">
        <v>115</v>
      </c>
      <c r="D17" s="4" t="s">
        <v>116</v>
      </c>
      <c r="E17" s="4" t="s">
        <v>44</v>
      </c>
      <c r="F17" s="5">
        <v>120</v>
      </c>
      <c r="G17" s="4">
        <v>24</v>
      </c>
      <c r="H17" s="6">
        <v>4.5</v>
      </c>
      <c r="I17" s="7" t="s">
        <v>117</v>
      </c>
      <c r="J17" s="4" t="s">
        <v>17</v>
      </c>
    </row>
    <row r="18" spans="1:14" ht="15">
      <c r="A18" s="4" t="s">
        <v>118</v>
      </c>
      <c r="B18" s="4" t="s">
        <v>119</v>
      </c>
      <c r="C18" s="4" t="s">
        <v>115</v>
      </c>
      <c r="D18" s="4" t="s">
        <v>116</v>
      </c>
      <c r="E18" s="4" t="s">
        <v>44</v>
      </c>
      <c r="F18" s="5">
        <v>32</v>
      </c>
      <c r="G18" s="4">
        <v>81</v>
      </c>
      <c r="H18" s="6">
        <v>4</v>
      </c>
      <c r="I18" s="7" t="s">
        <v>120</v>
      </c>
      <c r="J18" s="4" t="s">
        <v>17</v>
      </c>
      <c r="L18" s="15" t="s">
        <v>121</v>
      </c>
      <c r="M18" s="15" t="s">
        <v>122</v>
      </c>
      <c r="N18" s="15" t="s">
        <v>123</v>
      </c>
    </row>
    <row r="19" spans="1:14">
      <c r="A19" s="4" t="s">
        <v>124</v>
      </c>
      <c r="B19" s="4" t="s">
        <v>125</v>
      </c>
      <c r="C19" s="4" t="s">
        <v>115</v>
      </c>
      <c r="D19" s="4" t="s">
        <v>126</v>
      </c>
      <c r="E19" s="4" t="s">
        <v>29</v>
      </c>
      <c r="F19" s="5">
        <v>230</v>
      </c>
      <c r="G19" s="4">
        <v>12</v>
      </c>
      <c r="H19" s="6">
        <v>4.7</v>
      </c>
      <c r="I19" s="7" t="s">
        <v>127</v>
      </c>
      <c r="J19" s="4" t="s">
        <v>17</v>
      </c>
      <c r="L19" s="17">
        <v>0</v>
      </c>
      <c r="M19" s="16">
        <v>0</v>
      </c>
      <c r="N19" s="9" t="s">
        <v>128</v>
      </c>
    </row>
    <row r="20" spans="1:14">
      <c r="A20" s="4" t="s">
        <v>53</v>
      </c>
      <c r="B20" s="4" t="s">
        <v>71</v>
      </c>
      <c r="C20" s="4" t="s">
        <v>115</v>
      </c>
      <c r="D20" s="4" t="s">
        <v>126</v>
      </c>
      <c r="E20" s="4" t="s">
        <v>29</v>
      </c>
      <c r="F20" s="5">
        <v>105</v>
      </c>
      <c r="G20" s="4">
        <v>27</v>
      </c>
      <c r="H20" s="6">
        <v>4.5999999999999996</v>
      </c>
      <c r="I20" s="7" t="s">
        <v>129</v>
      </c>
      <c r="J20" s="4" t="s">
        <v>17</v>
      </c>
      <c r="L20" s="17">
        <v>100</v>
      </c>
      <c r="M20" s="16">
        <v>0.03</v>
      </c>
      <c r="N20" s="9" t="s">
        <v>130</v>
      </c>
    </row>
    <row r="21" spans="1:14">
      <c r="A21" s="4" t="s">
        <v>131</v>
      </c>
      <c r="B21" s="4" t="s">
        <v>132</v>
      </c>
      <c r="C21" s="4" t="s">
        <v>133</v>
      </c>
      <c r="D21" s="4" t="s">
        <v>134</v>
      </c>
      <c r="E21" s="4" t="s">
        <v>15</v>
      </c>
      <c r="F21" s="5">
        <v>25</v>
      </c>
      <c r="G21" s="4">
        <v>90</v>
      </c>
      <c r="H21" s="6">
        <v>4.0999999999999996</v>
      </c>
      <c r="I21" s="7" t="s">
        <v>135</v>
      </c>
      <c r="J21" s="4" t="s">
        <v>17</v>
      </c>
      <c r="L21" s="17">
        <v>250</v>
      </c>
      <c r="M21" s="16">
        <v>0.05</v>
      </c>
      <c r="N21" s="9" t="s">
        <v>136</v>
      </c>
    </row>
    <row r="22" spans="1:14">
      <c r="A22" s="4" t="s">
        <v>137</v>
      </c>
      <c r="B22" s="4" t="s">
        <v>138</v>
      </c>
      <c r="C22" s="4" t="s">
        <v>133</v>
      </c>
      <c r="D22" s="4" t="s">
        <v>134</v>
      </c>
      <c r="E22" s="4" t="s">
        <v>15</v>
      </c>
      <c r="F22" s="5">
        <v>180</v>
      </c>
      <c r="G22" s="4">
        <v>8</v>
      </c>
      <c r="H22" s="6">
        <v>4.5999999999999996</v>
      </c>
      <c r="I22" s="7" t="s">
        <v>139</v>
      </c>
      <c r="J22" s="4" t="s">
        <v>31</v>
      </c>
      <c r="L22" s="17">
        <v>500</v>
      </c>
      <c r="M22" s="16">
        <v>0.08</v>
      </c>
      <c r="N22" s="9"/>
    </row>
    <row r="23" spans="1:14">
      <c r="A23" s="4" t="s">
        <v>140</v>
      </c>
      <c r="B23" s="4" t="s">
        <v>101</v>
      </c>
      <c r="C23" s="4" t="s">
        <v>133</v>
      </c>
      <c r="D23" s="4" t="s">
        <v>141</v>
      </c>
      <c r="E23" s="4" t="s">
        <v>44</v>
      </c>
      <c r="F23" s="5">
        <v>18</v>
      </c>
      <c r="G23" s="4">
        <v>130</v>
      </c>
      <c r="H23" s="6">
        <v>4.2</v>
      </c>
      <c r="I23" s="7" t="s">
        <v>142</v>
      </c>
      <c r="J23" s="4" t="s">
        <v>17</v>
      </c>
      <c r="L23" s="17">
        <v>1000</v>
      </c>
      <c r="M23" s="16">
        <v>0.12</v>
      </c>
      <c r="N23" s="9"/>
    </row>
    <row r="24" spans="1:14">
      <c r="A24" s="4" t="s">
        <v>143</v>
      </c>
      <c r="B24" s="4" t="s">
        <v>144</v>
      </c>
      <c r="C24" s="4" t="s">
        <v>133</v>
      </c>
      <c r="D24" s="4" t="s">
        <v>141</v>
      </c>
      <c r="E24" s="4" t="s">
        <v>44</v>
      </c>
      <c r="F24" s="5">
        <v>699</v>
      </c>
      <c r="G24" s="4">
        <v>2</v>
      </c>
      <c r="H24" s="6">
        <v>4.4000000000000004</v>
      </c>
      <c r="I24" s="7" t="s">
        <v>145</v>
      </c>
      <c r="J24" s="4" t="s">
        <v>60</v>
      </c>
    </row>
    <row r="25" spans="1:14" ht="15">
      <c r="L25" s="15" t="s">
        <v>146</v>
      </c>
      <c r="M25" s="15" t="s">
        <v>147</v>
      </c>
      <c r="N25" s="15" t="s">
        <v>123</v>
      </c>
    </row>
    <row r="26" spans="1:14">
      <c r="L26" s="9">
        <v>0</v>
      </c>
      <c r="M26" s="18">
        <v>3.99</v>
      </c>
      <c r="N26" s="9" t="s">
        <v>128</v>
      </c>
    </row>
    <row r="27" spans="1:14">
      <c r="L27" s="9">
        <v>2</v>
      </c>
      <c r="M27" s="18">
        <v>5.99</v>
      </c>
      <c r="N27" s="9" t="s">
        <v>130</v>
      </c>
    </row>
    <row r="28" spans="1:14">
      <c r="L28" s="9">
        <v>5</v>
      </c>
      <c r="M28" s="18">
        <v>8.99</v>
      </c>
      <c r="N28" s="9" t="s">
        <v>148</v>
      </c>
    </row>
    <row r="29" spans="1:14">
      <c r="L29" s="9">
        <v>10</v>
      </c>
      <c r="M29" s="18">
        <v>14.99</v>
      </c>
      <c r="N29" s="9"/>
    </row>
    <row r="30" spans="1:14">
      <c r="L30" s="9">
        <v>25</v>
      </c>
      <c r="M30" s="18">
        <v>24.99</v>
      </c>
      <c r="N3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harrison oronsaye</cp:lastModifiedBy>
  <dcterms:created xsi:type="dcterms:W3CDTF">2026-05-04T10:37:34Z</dcterms:created>
  <dcterms:modified xsi:type="dcterms:W3CDTF">2026-05-14T10:19:26Z</dcterms:modified>
</cp:coreProperties>
</file>